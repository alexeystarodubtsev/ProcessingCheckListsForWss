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iaomi\source\repos\ProcessingCheckListWss\ProcessingCheckListWss\bin\Debug\Result\"/>
    </mc:Choice>
  </mc:AlternateContent>
  <bookViews>
    <workbookView xWindow="0" yWindow="0" windowWidth="23040" windowHeight="8904"/>
  </bookViews>
  <sheets>
    <sheet name="Возражения" sheetId="1" r:id="rId1"/>
  </sheets>
  <calcPr calcId="162913"/>
  <extLst>
    <x:ext xmlns:x="http://schemas.openxmlformats.org/spreadsheetml/2006/main" uri="GoogleSheetsCustomDataVersion1">
      <go:sheetsCustomData xmlns:go="http://customooxmlschemas.google.com/" r:id="rId5" roundtripDataSignature="AMtx7mg3AKVWa6GdN67u9+WQELxo3nJEdg=="/>
    </x:ext>
  </extLst>
</workbook>
</file>

<file path=xl/calcChain.xml><?xml version="1.0" encoding="utf-8"?>
<calcChain xmlns="http://schemas.openxmlformats.org/spreadsheetml/2006/main">
  <c r="P3" i="1" l="1"/>
  <c r="O3" i="1"/>
  <c r="N3" i="1"/>
  <c r="M3" i="1"/>
  <c r="Q3" i="1" s="1"/>
  <c r="M5" i="1"/>
  <c r="Q5" i="1" s="1"/>
  <c r="N5" i="1"/>
  <c r="O5" i="1"/>
  <c r="P5" i="1"/>
  <c r="Q4" i="1"/>
  <c r="P4" i="1"/>
  <c r="O4" i="1"/>
  <c r="N4" i="1"/>
  <c r="M4" i="1"/>
  <c r="Q6" i="1" l="1"/>
  <c r="N6" i="1"/>
  <c r="M6" i="1"/>
  <c r="O6" i="1"/>
  <c r="P6" i="1"/>
</calcChain>
</file>

<file path=xl/sharedStrings.xml><?xml version="1.0" encoding="utf-8"?>
<sst xmlns="http://schemas.openxmlformats.org/spreadsheetml/2006/main" count="168" uniqueCount="89">
  <si>
    <t>Возражения по звонкам по 27.11</t>
  </si>
  <si>
    <t>Статистика</t>
  </si>
  <si>
    <t>Менеджер</t>
  </si>
  <si>
    <t>Этап</t>
  </si>
  <si>
    <t>Клиент</t>
  </si>
  <si>
    <t>Дата звонка</t>
  </si>
  <si>
    <t>Тэг</t>
  </si>
  <si>
    <t>Возражение</t>
  </si>
  <si>
    <t>Отработал ли менеджер</t>
  </si>
  <si>
    <t>Как отработал</t>
  </si>
  <si>
    <t>Результат</t>
  </si>
  <si>
    <t>Дата назначенного контакта</t>
  </si>
  <si>
    <t>Цена</t>
  </si>
  <si>
    <t>Сроки</t>
  </si>
  <si>
    <t>Оплата</t>
  </si>
  <si>
    <t>Конкуренты</t>
  </si>
  <si>
    <t>Другое</t>
  </si>
  <si>
    <t>Вера</t>
  </si>
  <si>
    <t>Звонок ЛПР</t>
  </si>
  <si>
    <t>Исходящий на +7 927 168-49-19</t>
  </si>
  <si>
    <t>16.11.2020</t>
  </si>
  <si>
    <t>Доставка. клиент думает, что будет дорогая доставка из Москвы в Саратовскую область.</t>
  </si>
  <si>
    <t>Да</t>
  </si>
  <si>
    <t xml:space="preserve">Убедила клиента рассмотреть прайс и после рассчитать доставку. </t>
  </si>
  <si>
    <t>В работе</t>
  </si>
  <si>
    <t>-</t>
  </si>
  <si>
    <t>КПпрайс отправлены</t>
  </si>
  <si>
    <t>Исходящий на 7 960 117-88-89</t>
  </si>
  <si>
    <t>20.11.2020</t>
  </si>
  <si>
    <t xml:space="preserve">Дорого и Другое. Клиент хотел определенного производства и по цене сказал, что дорого. </t>
  </si>
  <si>
    <t xml:space="preserve">Уточнила почему только такого производства, по цене ничего не сказала. </t>
  </si>
  <si>
    <t>11.11.2021</t>
  </si>
  <si>
    <t>Даниял_</t>
  </si>
  <si>
    <t>Повторный звонокуточняющее каса</t>
  </si>
  <si>
    <t>Исходящий на 7 916 924-02-40</t>
  </si>
  <si>
    <t>Сказала, что на сайте старая информация. Предложила отправить прайс по остаткам.</t>
  </si>
  <si>
    <t>21.11.2020</t>
  </si>
  <si>
    <t>Кирилл</t>
  </si>
  <si>
    <t>Исходящий на 8 (905) 164-53-49</t>
  </si>
  <si>
    <t>Упущена</t>
  </si>
  <si>
    <t>Итого</t>
  </si>
  <si>
    <t>Исходящий на +7 926 347-00-00</t>
  </si>
  <si>
    <t>Другое. Клиенту нужны крылья серебряные.</t>
  </si>
  <si>
    <t>Исходящий на 8 (472) 257-20-07</t>
  </si>
  <si>
    <t>Другое. Клиенту пока товар не нужен.</t>
  </si>
  <si>
    <t>Другое. Менеджер уточнил о работе летом. Перезвонить ближе к лету</t>
  </si>
  <si>
    <t>10.12.2020</t>
  </si>
  <si>
    <t>Исходящий на +7 987 125-00-65</t>
  </si>
  <si>
    <t>17.11.2020</t>
  </si>
  <si>
    <t>Стоимость. Купил дешевле</t>
  </si>
  <si>
    <t>Менеджер уточнил ,что наша продукция с завода с документами.Менеджер убедил на сотрудничество, перезвонит</t>
  </si>
  <si>
    <t>Исходящий на 8 (920) 062-11-21</t>
  </si>
  <si>
    <t>18.11.2020</t>
  </si>
  <si>
    <t>Стоимость. Клиент хотел расчет по 3 колонке.</t>
  </si>
  <si>
    <t>Исходящий на +7 927 091-10-07</t>
  </si>
  <si>
    <t>Розница. Клиент покупал товар себе</t>
  </si>
  <si>
    <t>Нет</t>
  </si>
  <si>
    <t>Оплата счёта</t>
  </si>
  <si>
    <t>Исходящий на +7 916 773-30-67</t>
  </si>
  <si>
    <t>Менеджер предложил поработать летом, клиент согласился</t>
  </si>
  <si>
    <t>Исходящий на +7 938 448-82-58</t>
  </si>
  <si>
    <t>Предложил бюджетнее,но менее качественные. Озвучил из наличия.</t>
  </si>
  <si>
    <t>Доставка</t>
  </si>
  <si>
    <t>Дорого и другое</t>
  </si>
  <si>
    <t>Исходящий на +7 918 297-59-74</t>
  </si>
  <si>
    <t>25.11.2020</t>
  </si>
  <si>
    <t xml:space="preserve">Цена. Клиент сказал, что хотел цены прямо с завода. </t>
  </si>
  <si>
    <t xml:space="preserve">Озвучила, что если приобретать с завода, то нужно сделать заказ на очень большую сумму. </t>
  </si>
  <si>
    <t>Цена. Клиенту дорого. На сайте розничная цена ниже.</t>
  </si>
  <si>
    <t>Исходящий на 8 (913) 952-38-92</t>
  </si>
  <si>
    <t>27.11.2020</t>
  </si>
  <si>
    <t xml:space="preserve">Цена. Клиентка сказала, что даже по 3 колонке дорого. </t>
  </si>
  <si>
    <t>28.12.2020</t>
  </si>
  <si>
    <t>Цена. Клиента не устроила цена.</t>
  </si>
  <si>
    <t>Стоимость</t>
  </si>
  <si>
    <t>Исходящий на +7 927 857-05-85</t>
  </si>
  <si>
    <t>24.11.2020</t>
  </si>
  <si>
    <t>Стоимость. Не устроила цена.</t>
  </si>
  <si>
    <t>Менеджер предложил прайс по зиме,уточнил у кого заказывали.Предложил новый прайс</t>
  </si>
  <si>
    <t>Исходящий на +7 912 724-00-57</t>
  </si>
  <si>
    <t>Менеджер убедил поработать летом</t>
  </si>
  <si>
    <t>12.01.2021</t>
  </si>
  <si>
    <t>Розница</t>
  </si>
  <si>
    <t>Исходящий на +7 903 293-78-96</t>
  </si>
  <si>
    <t>26.11.2020</t>
  </si>
  <si>
    <t>Другое. Нужны самокаты определенной модели.</t>
  </si>
  <si>
    <t>Менеджер предложил подобрать другие самокаты.</t>
  </si>
  <si>
    <t>Другое. У клиента нет денег</t>
  </si>
  <si>
    <t>Цена. Клиент хотел дешевле. Так как за такую стоимость можно взять в розницу.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</si>
</sst>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rgb="FF000000"/>
      <name val="Calibri"/>
    </font>
    <font>
      <b/>
      <sz val="11"/>
      <color rgb="FF000000"/>
      <name val="Calibri"/>
    </font>
    <font>
      <u/>
      <sz val="11"/>
      <color theme="10"/>
      <name val="Calibri"/>
    </font>
    <font>
      <b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0">
    <xf numFmtId="0" fontId="0" fillId="0" borderId="0" xfId="0" applyFont="1" applyAlignment="1"/>
    <xf numFmtId="0" fontId="1" fillId="0" borderId="4" xfId="0" applyFont="1" applyBorder="1" applyAlignment="1">
      <alignment horizontal="center" wrapText="1"/>
    </xf>
    <xf numFmtId="0" fontId="1" fillId="0" borderId="3" xfId="0" applyNumberFormat="1" applyFont="1" applyFill="1" applyBorder="1" applyAlignment="1" applyProtection="1">
      <alignment horizontal="center" wrapText="1"/>
    </xf>
    <xf numFmtId="0" fontId="1" fillId="0" borderId="2" xfId="0" applyNumberFormat="1" applyFont="1" applyFill="1" applyBorder="1" applyAlignment="1" applyProtection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0" fillId="0" borderId="4" xfId="0" applyFont="1" applyBorder="1" applyAlignment="1">
      <alignment horizontal="center" wrapText="1"/>
    </xf>
    <xf numFmtId="0" fontId="2" fillId="0" borderId="4" xfId="0" applyFont="1" applyBorder="1" applyAlignment="1">
      <alignment horizontal="center" wrapText="1"/>
    </xf>
    <xf numFmtId="0" fontId="0" fillId="0" borderId="4" xfId="0" applyNumberFormat="1" applyFill="1" applyBorder="1" applyAlignment="1" applyProtection="1">
      <alignment horizontal="center" wrapText="1"/>
    </xf>
    <xf numFmtId="0" fontId="3" fillId="0" borderId="4" xfId="0" applyNumberFormat="1" applyFont="1" applyFill="1" applyBorder="1" applyAlignment="1" applyProtection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novasport.bitrix24.ru/crm/contact/details/1156/?IFRAME=Y&amp;IFRAME_TYPE=SIDE_SLIDER" TargetMode="External"/><Relationship Id="rId13" Type="http://schemas.openxmlformats.org/officeDocument/2006/relationships/hyperlink" Target="https://novasport.bitrix24.ru/crm/lead/details/157739/?IFRAME=Y&amp;IFRAME_TYPE=SIDE_SLIDER" TargetMode="External"/><Relationship Id="rId3" Type="http://schemas.openxmlformats.org/officeDocument/2006/relationships/hyperlink" Target="https://novasport.bitrix24.ru/crm/contact/details/37239/" TargetMode="External"/><Relationship Id="rId7" Type="http://schemas.openxmlformats.org/officeDocument/2006/relationships/hyperlink" Target="https://novasport.bitrix24.ru/crm/lead/details/157801/?IFRAME=Y&amp;IFRAME_TYPE=SIDE_SLIDER" TargetMode="External"/><Relationship Id="rId12" Type="http://schemas.openxmlformats.org/officeDocument/2006/relationships/hyperlink" Target="https://novasport.bitrix24.ru/crm/contact/details/19561/?IFRAME=Y&amp;IFRAME_TYPE=SIDE_SLIDER" TargetMode="External"/><Relationship Id="rId2" Type="http://schemas.openxmlformats.org/officeDocument/2006/relationships/hyperlink" Target="https://novasport.bitrix24.ru/crm/contact/details/37091/" TargetMode="External"/><Relationship Id="rId16" Type="http://schemas.openxmlformats.org/officeDocument/2006/relationships/hyperlink" Target="https://novasport.bitrix24.ru/crm/contact/details/34069/?IFRAME=Y&amp;IFRAME_TYPE=SIDE_SLIDER" TargetMode="External"/><Relationship Id="rId1" Type="http://schemas.openxmlformats.org/officeDocument/2006/relationships/hyperlink" Target="https://novasport.bitrix24.ru/crm/lead/details/157725/?IFRAME=Y&amp;IFRAME_TYPE=SIDE_SLIDER" TargetMode="External"/><Relationship Id="rId6" Type="http://schemas.openxmlformats.org/officeDocument/2006/relationships/hyperlink" Target="https://novasport.bitrix24.ru/crm/company/details/3302/?IFRAME=Y&amp;IFRAME_TYPE=SIDE_SLIDER" TargetMode="External"/><Relationship Id="rId11" Type="http://schemas.openxmlformats.org/officeDocument/2006/relationships/hyperlink" Target="https://novasport.bitrix24.ru/crm/company/details/31645/?IFRAME=Y&amp;IFRAME_TYPE=SIDE_SLIDER" TargetMode="External"/><Relationship Id="rId5" Type="http://schemas.openxmlformats.org/officeDocument/2006/relationships/hyperlink" Target="https://novasport.bitrix24.ru/crm/company/details/7202/" TargetMode="External"/><Relationship Id="rId15" Type="http://schemas.openxmlformats.org/officeDocument/2006/relationships/hyperlink" Target="https://novasport.bitrix24.ru/crm/contact/details/34189/?IFRAME=Y&amp;IFRAME_TYPE=SIDE_SLIDER" TargetMode="External"/><Relationship Id="rId10" Type="http://schemas.openxmlformats.org/officeDocument/2006/relationships/hyperlink" Target="https://novasport.bitrix24.ru/crm/contact/details/37057/?IFRAME=Y&amp;IFRAME_TYPE=SIDE_SLIDER" TargetMode="External"/><Relationship Id="rId4" Type="http://schemas.openxmlformats.org/officeDocument/2006/relationships/hyperlink" Target="https://novasport.bitrix24.ru/crm/contact/details/10759/?IFRAME=Y&amp;IFRAME_TYPE=SIDE_SLIDER" TargetMode="External"/><Relationship Id="rId9" Type="http://schemas.openxmlformats.org/officeDocument/2006/relationships/hyperlink" Target="https://novasport.bitrix24.ru/crm/contact/details/23269/?IFRAME=Y&amp;IFRAME_TYPE=SIDE_SLIDER" TargetMode="External"/><Relationship Id="rId14" Type="http://schemas.openxmlformats.org/officeDocument/2006/relationships/hyperlink" Target="https://novasport.bitrix24.ru/crm/lead/details/159163/?IFRAME=Y&amp;IFRAME_TYPE=SIDE_SLIDE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000"/>
  <sheetViews>
    <sheetView tabSelected="1" workbookViewId="0">
      <selection activeCell="M3" sqref="M3"/>
    </sheetView>
  </sheetViews>
  <sheetFormatPr defaultColWidth="15.109375" defaultRowHeight="15" customHeight="1" x14ac:dyDescent="0.3"/>
  <cols>
    <col min="1" max="3" width="15.6640625" customWidth="1"/>
    <col min="4" max="4" width="10.6640625" customWidth="1"/>
    <col min="5" max="5" width="20.6640625" customWidth="1"/>
    <col min="6" max="6" width="30.6640625" customWidth="1"/>
    <col min="7" max="7" width="15.6640625" customWidth="1"/>
    <col min="8" max="8" width="30.6640625" customWidth="1"/>
    <col min="9" max="10" width="10.6640625" customWidth="1"/>
    <col min="11" max="11" width="9.109375" customWidth="1"/>
    <col min="12" max="17" width="20.6640625" customWidth="1"/>
    <col min="18" max="26" width="8.6640625" customWidth="1"/>
  </cols>
  <sheetData>
    <row r="1" spans="1:17" ht="14.4" x14ac:dyDescent="0.3">
      <c r="A1" s="1" t="s">
        <v>0</v>
      </c>
      <c r="B1" s="1"/>
      <c r="C1" s="1"/>
      <c r="D1" s="1"/>
      <c r="E1" s="1"/>
      <c r="F1" s="1"/>
      <c r="G1" s="1"/>
      <c r="H1" s="1"/>
      <c r="I1" s="1"/>
      <c r="J1" s="5"/>
      <c r="L1" s="4" t="s">
        <v>1</v>
      </c>
      <c r="M1" s="3"/>
      <c r="N1" s="3"/>
      <c r="O1" s="3"/>
      <c r="P1" s="3"/>
      <c r="Q1" s="2"/>
    </row>
    <row r="2" spans="1:17" ht="57.6" x14ac:dyDescent="0.3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10</v>
      </c>
      <c r="J2" s="5" t="s">
        <v>11</v>
      </c>
      <c r="L2" s="5" t="s">
        <v>2</v>
      </c>
      <c r="M2" s="5" t="s">
        <v>12</v>
      </c>
      <c r="N2" s="5" t="s">
        <v>13</v>
      </c>
      <c r="O2" s="5" t="s">
        <v>14</v>
      </c>
      <c r="P2" s="5" t="s">
        <v>15</v>
      </c>
      <c r="Q2" s="5" t="s">
        <v>16</v>
      </c>
    </row>
    <row r="3" spans="1:17" ht="43.2" x14ac:dyDescent="0.3">
      <c r="A3" s="5" t="s">
        <v>17</v>
      </c>
      <c r="B3" s="6" t="s">
        <v>18</v>
      </c>
      <c r="C3" s="7" t="s">
        <v>19</v>
      </c>
      <c r="D3" s="6" t="s">
        <v>20</v>
      </c>
      <c r="E3" s="6" t="s">
        <v>62</v>
      </c>
      <c r="F3" s="6" t="s">
        <v>21</v>
      </c>
      <c r="G3" s="6" t="s">
        <v>22</v>
      </c>
      <c r="H3" s="6" t="s">
        <v>23</v>
      </c>
      <c r="I3" s="6" t="s">
        <v>24</v>
      </c>
      <c r="J3" s="6" t="s">
        <v>25</v>
      </c>
      <c r="L3" s="5" t="s">
        <v>17</v>
      </c>
      <c r="M3" s="8">
        <f>COUNTIFS($E$3:$E$100,"Дорого",$A$3:$A$100,L3) + COUNTIFS($E$3:$E$100,"Стоимость",$A$3:$A$100,L3) + COUNTIFS($E$3:$E$100,"Цена",$A$3:$A$100,L3)</f>
        <v>3</v>
      </c>
      <c r="N3" s="8">
        <f>COUNTIFS($E$6:$E$100,N$2,$A$6:$A$100,L3)</f>
        <v>0</v>
      </c>
      <c r="O3" s="8">
        <f>COUNTIFS($E$3:$E$100,O$2,$A$3:$A$100,L3)</f>
        <v>0</v>
      </c>
      <c r="P3" s="8">
        <f>COUNTIFS($E$3:$E$100,P$2,$A$3:$A$100,L3)</f>
        <v>0</v>
      </c>
      <c r="Q3" s="8">
        <f>COUNTIFS($A$3:$A$100,L3) - SUM($M3:$P3)</f>
        <v>2</v>
      </c>
    </row>
    <row r="4" spans="1:17" ht="43.2" x14ac:dyDescent="0.3">
      <c r="A4" s="5" t="s">
        <v>17</v>
      </c>
      <c r="B4" s="6" t="s">
        <v>26</v>
      </c>
      <c r="C4" s="7" t="s">
        <v>27</v>
      </c>
      <c r="D4" s="6" t="s">
        <v>28</v>
      </c>
      <c r="E4" s="6" t="s">
        <v>63</v>
      </c>
      <c r="F4" s="6" t="s">
        <v>29</v>
      </c>
      <c r="G4" s="6" t="s">
        <v>22</v>
      </c>
      <c r="H4" s="6" t="s">
        <v>30</v>
      </c>
      <c r="I4" s="6" t="s">
        <v>24</v>
      </c>
      <c r="J4" s="6" t="s">
        <v>31</v>
      </c>
      <c r="L4" s="5" t="s">
        <v>32</v>
      </c>
      <c r="M4" s="8">
        <f>COUNTIFS($E$3:$E$100,"Дорого",$A$3:$A$100,L4) + COUNTIFS($E$3:$E$100,"Стоимость",$A$3:$A$100,L4) + COUNTIFS($E$3:$E$100,"Цена",$A$3:$A$100,L4)</f>
        <v>5</v>
      </c>
      <c r="N4" s="8">
        <f>COUNTIFS($E$6:$E$100,N$2,$A$6:$A$100,L4)</f>
        <v>0</v>
      </c>
      <c r="O4" s="8">
        <f>COUNTIFS($E$3:$E$100,O$2,$A$3:$A$100,L4)</f>
        <v>0</v>
      </c>
      <c r="P4" s="8">
        <f>COUNTIFS($E$3:$E$100,P$2,$A$3:$A$100,L4)</f>
        <v>0</v>
      </c>
      <c r="Q4" s="8">
        <f>COUNTIFS($A$3:$A$100,L4) - SUM($M4:$P4)</f>
        <v>2</v>
      </c>
    </row>
    <row r="5" spans="1:17" ht="43.2" x14ac:dyDescent="0.3">
      <c r="A5" s="5" t="s">
        <v>17</v>
      </c>
      <c r="B5" s="6" t="s">
        <v>26</v>
      </c>
      <c r="C5" s="7" t="s">
        <v>64</v>
      </c>
      <c r="D5" s="6" t="s">
        <v>65</v>
      </c>
      <c r="E5" s="6" t="s">
        <v>12</v>
      </c>
      <c r="F5" s="6" t="s">
        <v>66</v>
      </c>
      <c r="G5" s="6" t="s">
        <v>22</v>
      </c>
      <c r="H5" s="6" t="s">
        <v>67</v>
      </c>
      <c r="I5" s="6" t="s">
        <v>24</v>
      </c>
      <c r="J5" s="6"/>
      <c r="L5" s="5" t="s">
        <v>37</v>
      </c>
      <c r="M5" s="8">
        <f>COUNTIFS($E$3:$E$100,"Дорого",$A$3:$A$100,L5) + COUNTIFS($E$3:$E$100,"Стоимость",$A$3:$A$100,L5) + COUNTIFS($E$3:$E$100,"Цена",$A$3:$A$100,L5)</f>
        <v>1</v>
      </c>
      <c r="N5" s="8">
        <f>COUNTIFS($E$6:$E$100,N$2,$A$6:$A$100,L5)</f>
        <v>0</v>
      </c>
      <c r="O5" s="8">
        <f>COUNTIFS($E$3:$E$100,O$2,$A$3:$A$100,L5)</f>
        <v>0</v>
      </c>
      <c r="P5" s="8">
        <f>COUNTIFS($E$3:$E$100,P$2,$A$3:$A$100,L5)</f>
        <v>0</v>
      </c>
      <c r="Q5" s="8">
        <f>COUNTIFS($A$3:$A$100,L5) - SUM($M5:$P5)</f>
        <v>3</v>
      </c>
    </row>
    <row r="6" spans="1:17" ht="43.2" x14ac:dyDescent="0.3">
      <c r="A6" s="5" t="s">
        <v>17</v>
      </c>
      <c r="B6" s="6" t="s">
        <v>33</v>
      </c>
      <c r="C6" s="7" t="s">
        <v>34</v>
      </c>
      <c r="D6" s="6" t="s">
        <v>20</v>
      </c>
      <c r="E6" s="6" t="s">
        <v>12</v>
      </c>
      <c r="F6" s="6" t="s">
        <v>68</v>
      </c>
      <c r="G6" s="6" t="s">
        <v>22</v>
      </c>
      <c r="H6" s="6" t="s">
        <v>35</v>
      </c>
      <c r="I6" s="6" t="s">
        <v>24</v>
      </c>
      <c r="J6" s="6" t="s">
        <v>36</v>
      </c>
      <c r="L6" s="5" t="s">
        <v>40</v>
      </c>
      <c r="M6" s="9">
        <f>SUM(M3:M5)</f>
        <v>9</v>
      </c>
      <c r="N6" s="9">
        <f t="shared" ref="N6:Q6" si="0">SUM(N3:N5)</f>
        <v>0</v>
      </c>
      <c r="O6" s="9">
        <f t="shared" si="0"/>
        <v>0</v>
      </c>
      <c r="P6" s="9">
        <f t="shared" si="0"/>
        <v>0</v>
      </c>
      <c r="Q6" s="9">
        <f t="shared" si="0"/>
        <v>7</v>
      </c>
    </row>
    <row r="7" spans="1:17" ht="43.2" x14ac:dyDescent="0.3">
      <c r="A7" s="5" t="s">
        <v>17</v>
      </c>
      <c r="B7" s="6" t="s">
        <v>33</v>
      </c>
      <c r="C7" s="7" t="s">
        <v>69</v>
      </c>
      <c r="D7" s="6" t="s">
        <v>70</v>
      </c>
      <c r="E7" s="6" t="s">
        <v>12</v>
      </c>
      <c r="F7" s="6" t="s">
        <v>71</v>
      </c>
      <c r="G7" s="6" t="s">
        <v>56</v>
      </c>
      <c r="H7" s="6"/>
      <c r="I7" s="6" t="s">
        <v>24</v>
      </c>
      <c r="J7" s="6" t="s">
        <v>72</v>
      </c>
    </row>
    <row r="8" spans="1:17" ht="28.8" x14ac:dyDescent="0.3">
      <c r="A8" s="5" t="s">
        <v>32</v>
      </c>
      <c r="B8" s="6" t="s">
        <v>18</v>
      </c>
      <c r="C8" s="7" t="s">
        <v>38</v>
      </c>
      <c r="D8" s="6" t="s">
        <v>20</v>
      </c>
      <c r="E8" s="6" t="s">
        <v>12</v>
      </c>
      <c r="F8" s="6" t="s">
        <v>73</v>
      </c>
      <c r="G8" s="6" t="s">
        <v>56</v>
      </c>
      <c r="H8" s="6"/>
      <c r="I8" s="6" t="s">
        <v>39</v>
      </c>
      <c r="J8" s="6"/>
    </row>
    <row r="9" spans="1:17" ht="28.8" x14ac:dyDescent="0.3">
      <c r="A9" s="5" t="s">
        <v>32</v>
      </c>
      <c r="B9" s="6" t="s">
        <v>18</v>
      </c>
      <c r="C9" s="7" t="s">
        <v>41</v>
      </c>
      <c r="D9" s="6" t="s">
        <v>20</v>
      </c>
      <c r="E9" s="6" t="s">
        <v>16</v>
      </c>
      <c r="F9" s="6" t="s">
        <v>42</v>
      </c>
      <c r="G9" s="6" t="s">
        <v>56</v>
      </c>
      <c r="H9" s="6"/>
      <c r="I9" s="6" t="s">
        <v>39</v>
      </c>
      <c r="J9" s="6"/>
    </row>
    <row r="10" spans="1:17" ht="43.2" x14ac:dyDescent="0.3">
      <c r="A10" s="5" t="s">
        <v>32</v>
      </c>
      <c r="B10" s="6" t="s">
        <v>26</v>
      </c>
      <c r="C10" s="7" t="s">
        <v>43</v>
      </c>
      <c r="D10" s="6" t="s">
        <v>20</v>
      </c>
      <c r="E10" s="6" t="s">
        <v>16</v>
      </c>
      <c r="F10" s="6" t="s">
        <v>44</v>
      </c>
      <c r="G10" s="6" t="s">
        <v>22</v>
      </c>
      <c r="H10" s="6" t="s">
        <v>45</v>
      </c>
      <c r="I10" s="6" t="s">
        <v>24</v>
      </c>
      <c r="J10" s="6" t="s">
        <v>46</v>
      </c>
    </row>
    <row r="11" spans="1:17" ht="57.6" x14ac:dyDescent="0.3">
      <c r="A11" s="5" t="s">
        <v>32</v>
      </c>
      <c r="B11" s="6" t="s">
        <v>26</v>
      </c>
      <c r="C11" s="7" t="s">
        <v>47</v>
      </c>
      <c r="D11" s="6" t="s">
        <v>48</v>
      </c>
      <c r="E11" s="6" t="s">
        <v>74</v>
      </c>
      <c r="F11" s="6" t="s">
        <v>49</v>
      </c>
      <c r="G11" s="6" t="s">
        <v>22</v>
      </c>
      <c r="H11" s="6" t="s">
        <v>50</v>
      </c>
      <c r="I11" s="6" t="s">
        <v>24</v>
      </c>
      <c r="J11" s="6" t="s">
        <v>46</v>
      </c>
    </row>
    <row r="12" spans="1:17" ht="28.8" x14ac:dyDescent="0.3">
      <c r="A12" s="5" t="s">
        <v>32</v>
      </c>
      <c r="B12" s="6" t="s">
        <v>26</v>
      </c>
      <c r="C12" s="7" t="s">
        <v>51</v>
      </c>
      <c r="D12" s="6" t="s">
        <v>52</v>
      </c>
      <c r="E12" s="6" t="s">
        <v>74</v>
      </c>
      <c r="F12" s="6" t="s">
        <v>53</v>
      </c>
      <c r="G12" s="6" t="s">
        <v>56</v>
      </c>
      <c r="H12" s="6"/>
      <c r="I12" s="6" t="s">
        <v>39</v>
      </c>
      <c r="J12" s="6"/>
    </row>
    <row r="13" spans="1:17" ht="57.6" x14ac:dyDescent="0.3">
      <c r="A13" s="5" t="s">
        <v>32</v>
      </c>
      <c r="B13" s="6" t="s">
        <v>26</v>
      </c>
      <c r="C13" s="7" t="s">
        <v>75</v>
      </c>
      <c r="D13" s="6" t="s">
        <v>76</v>
      </c>
      <c r="E13" s="6" t="s">
        <v>74</v>
      </c>
      <c r="F13" s="6" t="s">
        <v>77</v>
      </c>
      <c r="G13" s="6" t="s">
        <v>56</v>
      </c>
      <c r="H13" s="6" t="s">
        <v>78</v>
      </c>
      <c r="I13" s="6" t="s">
        <v>39</v>
      </c>
      <c r="J13" s="6"/>
    </row>
    <row r="14" spans="1:17" ht="28.8" x14ac:dyDescent="0.3">
      <c r="A14" s="5" t="s">
        <v>32</v>
      </c>
      <c r="B14" s="6" t="s">
        <v>26</v>
      </c>
      <c r="C14" s="7" t="s">
        <v>79</v>
      </c>
      <c r="D14" s="6" t="s">
        <v>65</v>
      </c>
      <c r="E14" s="6" t="s">
        <v>12</v>
      </c>
      <c r="F14" s="6" t="s">
        <v>73</v>
      </c>
      <c r="G14" s="6" t="s">
        <v>22</v>
      </c>
      <c r="H14" s="6" t="s">
        <v>80</v>
      </c>
      <c r="I14" s="6" t="s">
        <v>24</v>
      </c>
      <c r="J14" s="6" t="s">
        <v>81</v>
      </c>
    </row>
    <row r="15" spans="1:17" ht="28.8" x14ac:dyDescent="0.3">
      <c r="A15" s="5" t="s">
        <v>37</v>
      </c>
      <c r="B15" s="6" t="s">
        <v>18</v>
      </c>
      <c r="C15" s="7" t="s">
        <v>54</v>
      </c>
      <c r="D15" s="6" t="s">
        <v>20</v>
      </c>
      <c r="E15" s="6" t="s">
        <v>82</v>
      </c>
      <c r="F15" s="6" t="s">
        <v>55</v>
      </c>
      <c r="G15" s="6" t="s">
        <v>56</v>
      </c>
      <c r="H15" s="6"/>
      <c r="I15" s="6" t="s">
        <v>39</v>
      </c>
      <c r="J15" s="6"/>
    </row>
    <row r="16" spans="1:17" ht="28.8" x14ac:dyDescent="0.3">
      <c r="A16" s="5" t="s">
        <v>37</v>
      </c>
      <c r="B16" s="6" t="s">
        <v>26</v>
      </c>
      <c r="C16" s="7" t="s">
        <v>83</v>
      </c>
      <c r="D16" s="6" t="s">
        <v>84</v>
      </c>
      <c r="E16" s="6" t="s">
        <v>16</v>
      </c>
      <c r="F16" s="6" t="s">
        <v>85</v>
      </c>
      <c r="G16" s="6" t="s">
        <v>56</v>
      </c>
      <c r="H16" s="6" t="s">
        <v>86</v>
      </c>
      <c r="I16" s="6" t="s">
        <v>39</v>
      </c>
      <c r="J16" s="6"/>
    </row>
    <row r="17" spans="1:10" ht="43.2" x14ac:dyDescent="0.3">
      <c r="A17" s="5" t="s">
        <v>37</v>
      </c>
      <c r="B17" s="6" t="s">
        <v>57</v>
      </c>
      <c r="C17" s="7" t="s">
        <v>58</v>
      </c>
      <c r="D17" s="6" t="s">
        <v>20</v>
      </c>
      <c r="E17" s="6" t="s">
        <v>16</v>
      </c>
      <c r="F17" s="6" t="s">
        <v>87</v>
      </c>
      <c r="G17" s="6" t="s">
        <v>22</v>
      </c>
      <c r="H17" s="6" t="s">
        <v>59</v>
      </c>
      <c r="I17" s="6" t="s">
        <v>24</v>
      </c>
      <c r="J17" s="6"/>
    </row>
    <row r="18" spans="1:10" ht="43.2" x14ac:dyDescent="0.3">
      <c r="A18" s="5" t="s">
        <v>37</v>
      </c>
      <c r="B18" s="6" t="s">
        <v>33</v>
      </c>
      <c r="C18" s="7" t="s">
        <v>60</v>
      </c>
      <c r="D18" s="6" t="s">
        <v>52</v>
      </c>
      <c r="E18" s="6" t="s">
        <v>12</v>
      </c>
      <c r="F18" s="6" t="s">
        <v>88</v>
      </c>
      <c r="G18" s="6" t="s">
        <v>22</v>
      </c>
      <c r="H18" s="6" t="s">
        <v>61</v>
      </c>
      <c r="I18" s="6" t="s">
        <v>24</v>
      </c>
      <c r="J18" s="6"/>
    </row>
    <row r="19" spans="1:10" ht="14.4" x14ac:dyDescent="0.3"/>
    <row r="20" spans="1:10" ht="14.4" x14ac:dyDescent="0.3"/>
    <row r="21" spans="1:10" ht="15.75" customHeight="1" x14ac:dyDescent="0.3"/>
    <row r="22" spans="1:10" ht="15.75" customHeight="1" x14ac:dyDescent="0.3"/>
    <row r="23" spans="1:10" ht="15.75" customHeight="1" x14ac:dyDescent="0.3"/>
    <row r="24" spans="1:10" ht="15.75" customHeight="1" x14ac:dyDescent="0.3"/>
    <row r="25" spans="1:10" ht="15.75" customHeight="1" x14ac:dyDescent="0.3"/>
    <row r="26" spans="1:10" ht="15.75" customHeight="1" x14ac:dyDescent="0.3"/>
    <row r="27" spans="1:10" ht="15.75" customHeight="1" x14ac:dyDescent="0.3"/>
    <row r="28" spans="1:10" ht="15.75" customHeight="1" x14ac:dyDescent="0.3"/>
    <row r="29" spans="1:10" ht="15.75" customHeight="1" x14ac:dyDescent="0.3"/>
    <row r="30" spans="1:10" ht="15.75" customHeight="1" x14ac:dyDescent="0.3"/>
    <row r="31" spans="1:10" ht="15.75" customHeight="1" x14ac:dyDescent="0.3"/>
    <row r="32" spans="1:10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2">
    <mergeCell ref="L1:Q1"/>
    <mergeCell ref="A1:I1"/>
  </mergeCells>
  <hyperlinks>
    <hyperlink ref="C3" r:id="rId1"/>
    <hyperlink ref="C4" r:id="rId2"/>
    <hyperlink ref="C5" r:id="rId3"/>
    <hyperlink ref="C6" r:id="rId4"/>
    <hyperlink ref="C7" r:id="rId5"/>
    <hyperlink ref="C8" r:id="rId6"/>
    <hyperlink ref="C9" r:id="rId7"/>
    <hyperlink ref="C10" r:id="rId8"/>
    <hyperlink ref="C11" r:id="rId9"/>
    <hyperlink ref="C12" r:id="rId10"/>
    <hyperlink ref="C13" r:id="rId11"/>
    <hyperlink ref="C14" r:id="rId12"/>
    <hyperlink ref="C15" r:id="rId13"/>
    <hyperlink ref="C16" r:id="rId14"/>
    <hyperlink ref="C17" r:id="rId15"/>
    <hyperlink ref="C18" r:id="rId16"/>
  </hyperlinks>
  <pageMargins left="0.75" right="0.75" top="0.75" bottom="0.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Возражения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LexaStar</cp:lastModifiedBy>
  <dcterms:created xsi:type="dcterms:W3CDTF">2020-11-30T21:42:37Z</dcterms:created>
  <dcterms:modified xsi:type="dcterms:W3CDTF">2020-11-30T21:49:18Z</dcterms:modified>
</cp:coreProperties>
</file>